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F:\ALEXEY\030 DEVELOPMENT\vba\"/>
    </mc:Choice>
  </mc:AlternateContent>
  <bookViews>
    <workbookView xWindow="0" yWindow="0" windowWidth="12540" windowHeight="117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9" i="1" l="1"/>
  <c r="F62" i="1"/>
  <c r="F63" i="1"/>
  <c r="F61" i="1"/>
  <c r="F57" i="1"/>
  <c r="F59" i="1"/>
  <c r="F55" i="1"/>
  <c r="F53" i="1"/>
  <c r="F51" i="1"/>
  <c r="F52" i="1"/>
  <c r="F58" i="1"/>
  <c r="F56" i="1"/>
  <c r="F54" i="1"/>
  <c r="F48" i="1"/>
  <c r="F49" i="1"/>
  <c r="F45" i="1"/>
  <c r="F43" i="1"/>
  <c r="F44" i="1"/>
  <c r="F47" i="1"/>
  <c r="F41" i="1"/>
  <c r="F46" i="1"/>
  <c r="F42" i="1"/>
  <c r="F33" i="1"/>
  <c r="F39" i="1"/>
  <c r="F35" i="1"/>
  <c r="F38" i="1"/>
  <c r="F36" i="1"/>
  <c r="F34" i="1"/>
  <c r="F37" i="1"/>
  <c r="F29" i="1"/>
  <c r="F31" i="1"/>
  <c r="F27" i="1"/>
  <c r="F30" i="1"/>
  <c r="F28" i="1"/>
  <c r="F23" i="1"/>
  <c r="F21" i="1"/>
  <c r="F25" i="1"/>
  <c r="F24" i="1"/>
  <c r="F22" i="1"/>
  <c r="F17" i="1"/>
  <c r="F15" i="1"/>
  <c r="F19" i="1"/>
  <c r="F18" i="1"/>
  <c r="F16" i="1"/>
  <c r="F11" i="1"/>
  <c r="F13" i="1"/>
  <c r="F9" i="1"/>
  <c r="F12" i="1"/>
  <c r="F10" i="1"/>
  <c r="F4" i="1"/>
  <c r="F5" i="1"/>
  <c r="F6" i="1"/>
  <c r="F7" i="1"/>
  <c r="F3" i="1"/>
  <c r="H63" i="1" l="1"/>
  <c r="H62" i="1"/>
  <c r="H61" i="1"/>
  <c r="H54" i="1"/>
  <c r="H56" i="1"/>
  <c r="H58" i="1"/>
  <c r="H52" i="1"/>
  <c r="H51" i="1"/>
  <c r="H53" i="1"/>
  <c r="H55" i="1"/>
  <c r="H59" i="1"/>
  <c r="H57" i="1"/>
  <c r="H49" i="1"/>
  <c r="H48" i="1"/>
  <c r="H42" i="1"/>
  <c r="H46" i="1"/>
  <c r="H41" i="1"/>
  <c r="H47" i="1"/>
  <c r="H44" i="1"/>
  <c r="H43" i="1"/>
  <c r="H45" i="1"/>
  <c r="H33" i="1"/>
  <c r="H39" i="1"/>
  <c r="H37" i="1"/>
  <c r="H34" i="1"/>
  <c r="H36" i="1"/>
  <c r="H38" i="1"/>
  <c r="H35" i="1"/>
  <c r="H28" i="1"/>
  <c r="H30" i="1"/>
  <c r="H27" i="1"/>
  <c r="H31" i="1"/>
  <c r="H29" i="1"/>
  <c r="H22" i="1"/>
  <c r="H24" i="1"/>
  <c r="H25" i="1"/>
  <c r="H21" i="1"/>
  <c r="H23" i="1"/>
  <c r="H16" i="1"/>
  <c r="H18" i="1"/>
  <c r="H19" i="1"/>
  <c r="H15" i="1"/>
  <c r="H17" i="1"/>
  <c r="H10" i="1"/>
  <c r="H12" i="1"/>
  <c r="H9" i="1"/>
  <c r="H13" i="1"/>
  <c r="H11" i="1"/>
  <c r="H7" i="1"/>
  <c r="H6" i="1"/>
  <c r="H4" i="1"/>
  <c r="H3" i="1"/>
  <c r="H5" i="1"/>
</calcChain>
</file>

<file path=xl/sharedStrings.xml><?xml version="1.0" encoding="utf-8"?>
<sst xmlns="http://schemas.openxmlformats.org/spreadsheetml/2006/main" count="95" uniqueCount="21">
  <si>
    <t>ГЛИНА</t>
  </si>
  <si>
    <t>ПЕСОК</t>
  </si>
  <si>
    <t>ГРАВЕЛИСТЫЙ</t>
  </si>
  <si>
    <t>IL</t>
  </si>
  <si>
    <t>e</t>
  </si>
  <si>
    <t>Type</t>
  </si>
  <si>
    <t>Subtype</t>
  </si>
  <si>
    <t>Correct</t>
  </si>
  <si>
    <t>Answer</t>
  </si>
  <si>
    <t>JUDGE</t>
  </si>
  <si>
    <t>КРУПНЫЙ</t>
  </si>
  <si>
    <t>СРЕДНЕЙ КРУПНОСТИ</t>
  </si>
  <si>
    <t>МЕЛКИЙ</t>
  </si>
  <si>
    <t>ПЫЛЕВАТЫЙ</t>
  </si>
  <si>
    <t>СУПЕСЬ</t>
  </si>
  <si>
    <t>ТВЕРДЫЙ</t>
  </si>
  <si>
    <t>СУГЛИНОК</t>
  </si>
  <si>
    <t>КРУПНООБЛОМОЧНЫЙ</t>
  </si>
  <si>
    <t>ГАЛЕЧНЫЙ</t>
  </si>
  <si>
    <t>ГРАВИЙНЫЙ</t>
  </si>
  <si>
    <t>ВАЛУННЫЙ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</si>
</sst>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1">
    <cellStyle name="Обычный" xfId="0" builtinId="0"/>
  </cellStyles>
  <dxfs count="4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H63"/>
  <sheetViews>
    <sheetView tabSelected="1" topLeftCell="A46" workbookViewId="0">
      <selection activeCell="C62" sqref="C62"/>
    </sheetView>
  </sheetViews>
  <sheetFormatPr defaultRowHeight="15" x14ac:dyDescent="0.25"/>
  <cols>
    <col min="1" max="1" width="9.140625" style="1"/>
    <col min="2" max="2" width="24.5703125" style="1" customWidth="1"/>
    <col min="3" max="3" width="22.85546875" style="1" customWidth="1"/>
    <col min="4" max="5" width="9.140625" style="1"/>
    <col min="6" max="7" width="9.5703125" style="1" bestFit="1" customWidth="1"/>
    <col min="8" max="16384" width="9.140625" style="1"/>
  </cols>
  <sheetData>
    <row r="2" spans="2:8" x14ac:dyDescent="0.25">
      <c r="B2" s="2" t="s">
        <v>5</v>
      </c>
      <c r="C2" s="2" t="s">
        <v>6</v>
      </c>
      <c r="D2" s="2" t="s">
        <v>3</v>
      </c>
      <c r="E2" s="2" t="s">
        <v>4</v>
      </c>
      <c r="F2" s="2" t="s">
        <v>8</v>
      </c>
      <c r="G2" s="2" t="s">
        <v>7</v>
      </c>
      <c r="H2" s="2" t="s">
        <v>9</v>
      </c>
    </row>
    <row r="3" spans="2:8" x14ac:dyDescent="0.25">
      <c r="B3" s="1" t="s">
        <v>1</v>
      </c>
      <c r="C3" s="1" t="s">
        <v>2</v>
      </c>
      <c r="E3" s="1">
        <v>0.5</v>
      </c>
      <c r="F3" s="3">
        <f>getTablesC1(B3,C3,D3,E3)</f>
        <v>33350</v>
      </c>
      <c r="G3" s="3">
        <v>33350</v>
      </c>
      <c r="H3" s="1" t="str">
        <f>IF(ABS(F3-G3)&lt;0.01,"OK","NO")</f>
        <v>OK</v>
      </c>
    </row>
    <row r="4" spans="2:8" x14ac:dyDescent="0.25">
      <c r="B4" s="1" t="s">
        <v>1</v>
      </c>
      <c r="C4" s="1" t="s">
        <v>2</v>
      </c>
      <c r="E4" s="1">
        <v>0.55000000000000004</v>
      </c>
      <c r="F4" s="3">
        <f t="shared" ref="F4:F7" si="0">getTablesC1(B4,C4,D4,E4)</f>
        <v>33350</v>
      </c>
      <c r="G4" s="3">
        <v>33350</v>
      </c>
      <c r="H4" s="1" t="str">
        <f t="shared" ref="H4:H7" si="1">IF(ABS(F4-G4)&lt;0.01,"OK","NO")</f>
        <v>OK</v>
      </c>
    </row>
    <row r="5" spans="2:8" x14ac:dyDescent="0.25">
      <c r="B5" s="1" t="s">
        <v>1</v>
      </c>
      <c r="C5" s="1" t="s">
        <v>2</v>
      </c>
      <c r="E5" s="1">
        <v>0.6</v>
      </c>
      <c r="F5" s="3">
        <f t="shared" si="0"/>
        <v>27816.666666666672</v>
      </c>
      <c r="G5" s="3">
        <v>27816.67</v>
      </c>
      <c r="H5" s="1" t="str">
        <f t="shared" si="1"/>
        <v>OK</v>
      </c>
    </row>
    <row r="6" spans="2:8" x14ac:dyDescent="0.25">
      <c r="B6" s="1" t="s">
        <v>1</v>
      </c>
      <c r="C6" s="1" t="s">
        <v>2</v>
      </c>
      <c r="E6" s="1">
        <v>0.7</v>
      </c>
      <c r="F6" s="3">
        <f t="shared" si="0"/>
        <v>16750</v>
      </c>
      <c r="G6" s="3">
        <v>16750</v>
      </c>
      <c r="H6" s="1" t="str">
        <f t="shared" si="1"/>
        <v>OK</v>
      </c>
    </row>
    <row r="7" spans="2:8" x14ac:dyDescent="0.25">
      <c r="B7" s="1" t="s">
        <v>1</v>
      </c>
      <c r="C7" s="1" t="s">
        <v>2</v>
      </c>
      <c r="E7" s="1">
        <v>0.8</v>
      </c>
      <c r="F7" s="3">
        <f t="shared" si="0"/>
        <v>16750</v>
      </c>
      <c r="G7" s="3">
        <v>16750</v>
      </c>
      <c r="H7" s="1" t="str">
        <f t="shared" si="1"/>
        <v>OK</v>
      </c>
    </row>
    <row r="9" spans="2:8" x14ac:dyDescent="0.25">
      <c r="B9" s="1" t="s">
        <v>1</v>
      </c>
      <c r="C9" s="1" t="s">
        <v>10</v>
      </c>
      <c r="E9" s="1">
        <v>0.5</v>
      </c>
      <c r="F9" s="3">
        <f>getTablesC1(B9,C9,D9,E9)</f>
        <v>10000</v>
      </c>
      <c r="G9" s="3">
        <v>10000</v>
      </c>
      <c r="H9" s="1" t="str">
        <f>IF(ABS(F9-G9)&lt;0.01,"OK","NO")</f>
        <v>OK</v>
      </c>
    </row>
    <row r="10" spans="2:8" x14ac:dyDescent="0.25">
      <c r="B10" s="1" t="s">
        <v>1</v>
      </c>
      <c r="C10" s="1" t="s">
        <v>10</v>
      </c>
      <c r="E10" s="1">
        <v>0.55000000000000004</v>
      </c>
      <c r="F10" s="3">
        <f t="shared" ref="F10:F13" si="2">getTablesC1(B10,C10,D10,E10)</f>
        <v>10000</v>
      </c>
      <c r="G10" s="3">
        <v>10000</v>
      </c>
      <c r="H10" s="1" t="str">
        <f t="shared" ref="H10:H13" si="3">IF(ABS(F10-G10)&lt;0.01,"OK","NO")</f>
        <v>OK</v>
      </c>
    </row>
    <row r="11" spans="2:8" x14ac:dyDescent="0.25">
      <c r="B11" s="1" t="s">
        <v>1</v>
      </c>
      <c r="C11" s="1" t="s">
        <v>10</v>
      </c>
      <c r="E11" s="1">
        <v>0.6</v>
      </c>
      <c r="F11" s="3">
        <f t="shared" si="2"/>
        <v>8666.6666666666679</v>
      </c>
      <c r="G11" s="3">
        <v>8666.67</v>
      </c>
      <c r="H11" s="1" t="str">
        <f t="shared" si="3"/>
        <v>OK</v>
      </c>
    </row>
    <row r="12" spans="2:8" x14ac:dyDescent="0.25">
      <c r="B12" s="1" t="s">
        <v>1</v>
      </c>
      <c r="C12" s="1" t="s">
        <v>10</v>
      </c>
      <c r="E12" s="1">
        <v>0.7</v>
      </c>
      <c r="F12" s="3">
        <f t="shared" si="2"/>
        <v>6000</v>
      </c>
      <c r="G12" s="3">
        <v>6000</v>
      </c>
      <c r="H12" s="1" t="str">
        <f t="shared" si="3"/>
        <v>OK</v>
      </c>
    </row>
    <row r="13" spans="2:8" x14ac:dyDescent="0.25">
      <c r="B13" s="1" t="s">
        <v>1</v>
      </c>
      <c r="C13" s="1" t="s">
        <v>10</v>
      </c>
      <c r="E13" s="1">
        <v>0.8</v>
      </c>
      <c r="F13" s="3">
        <f t="shared" si="2"/>
        <v>6000</v>
      </c>
      <c r="G13" s="3">
        <v>6000</v>
      </c>
      <c r="H13" s="1" t="str">
        <f t="shared" si="3"/>
        <v>OK</v>
      </c>
    </row>
    <row r="15" spans="2:8" x14ac:dyDescent="0.25">
      <c r="B15" s="1" t="s">
        <v>1</v>
      </c>
      <c r="C15" s="1" t="s">
        <v>11</v>
      </c>
      <c r="E15" s="1">
        <v>0.5</v>
      </c>
      <c r="F15" s="3">
        <f>getTablesC1(B15,C15,D15,E15)</f>
        <v>6000</v>
      </c>
      <c r="G15" s="3">
        <v>6000</v>
      </c>
      <c r="H15" s="1" t="str">
        <f>IF(ABS(F15-G15)&lt;0.01,"OK","NO")</f>
        <v>OK</v>
      </c>
    </row>
    <row r="16" spans="2:8" x14ac:dyDescent="0.25">
      <c r="B16" s="1" t="s">
        <v>1</v>
      </c>
      <c r="C16" s="1" t="s">
        <v>11</v>
      </c>
      <c r="E16" s="1">
        <v>0.55000000000000004</v>
      </c>
      <c r="F16" s="3">
        <f t="shared" ref="F16:F19" si="4">getTablesC1(B16,C16,D16,E16)</f>
        <v>6000</v>
      </c>
      <c r="G16" s="3">
        <v>6000</v>
      </c>
      <c r="H16" s="1" t="str">
        <f t="shared" ref="H16:H19" si="5">IF(ABS(F16-G16)&lt;0.01,"OK","NO")</f>
        <v>OK</v>
      </c>
    </row>
    <row r="17" spans="2:8" x14ac:dyDescent="0.25">
      <c r="B17" s="1" t="s">
        <v>1</v>
      </c>
      <c r="C17" s="1" t="s">
        <v>11</v>
      </c>
      <c r="E17" s="1">
        <v>0.6</v>
      </c>
      <c r="F17" s="3">
        <f t="shared" si="4"/>
        <v>5333.3333333333339</v>
      </c>
      <c r="G17" s="3">
        <v>5333.33</v>
      </c>
      <c r="H17" s="1" t="str">
        <f t="shared" si="5"/>
        <v>OK</v>
      </c>
    </row>
    <row r="18" spans="2:8" x14ac:dyDescent="0.25">
      <c r="B18" s="1" t="s">
        <v>1</v>
      </c>
      <c r="C18" s="1" t="s">
        <v>11</v>
      </c>
      <c r="E18" s="1">
        <v>0.7</v>
      </c>
      <c r="F18" s="3">
        <f t="shared" si="4"/>
        <v>4000</v>
      </c>
      <c r="G18" s="3">
        <v>4000</v>
      </c>
      <c r="H18" s="1" t="str">
        <f t="shared" si="5"/>
        <v>OK</v>
      </c>
    </row>
    <row r="19" spans="2:8" x14ac:dyDescent="0.25">
      <c r="B19" s="1" t="s">
        <v>1</v>
      </c>
      <c r="C19" s="1" t="s">
        <v>11</v>
      </c>
      <c r="E19" s="1">
        <v>0.8</v>
      </c>
      <c r="F19" s="3">
        <f t="shared" si="4"/>
        <v>4000</v>
      </c>
      <c r="G19" s="3">
        <v>4000</v>
      </c>
      <c r="H19" s="1" t="str">
        <f t="shared" si="5"/>
        <v>OK</v>
      </c>
    </row>
    <row r="21" spans="2:8" x14ac:dyDescent="0.25">
      <c r="B21" s="1" t="s">
        <v>1</v>
      </c>
      <c r="C21" s="1" t="s">
        <v>12</v>
      </c>
      <c r="E21" s="1">
        <v>0.5</v>
      </c>
      <c r="F21" s="3">
        <f>getTablesC1(B21,C21,D21,E21)</f>
        <v>6000</v>
      </c>
      <c r="G21" s="3">
        <v>6000</v>
      </c>
      <c r="H21" s="1" t="str">
        <f>IF(ABS(F21-G21)&lt;0.01,"OK","NO")</f>
        <v>OK</v>
      </c>
    </row>
    <row r="22" spans="2:8" x14ac:dyDescent="0.25">
      <c r="B22" s="1" t="s">
        <v>1</v>
      </c>
      <c r="C22" s="1" t="s">
        <v>12</v>
      </c>
      <c r="E22" s="1">
        <v>0.6</v>
      </c>
      <c r="F22" s="3">
        <f t="shared" ref="F22:F25" si="6">getTablesC1(B22,C22,D22,E22)</f>
        <v>6000</v>
      </c>
      <c r="G22" s="3">
        <v>6000</v>
      </c>
      <c r="H22" s="1" t="str">
        <f t="shared" ref="H22:H25" si="7">IF(ABS(F22-G22)&lt;0.01,"OK","NO")</f>
        <v>OK</v>
      </c>
    </row>
    <row r="23" spans="2:8" x14ac:dyDescent="0.25">
      <c r="B23" s="1" t="s">
        <v>1</v>
      </c>
      <c r="C23" s="1" t="s">
        <v>12</v>
      </c>
      <c r="E23" s="1">
        <v>0.65</v>
      </c>
      <c r="F23" s="3">
        <f t="shared" si="6"/>
        <v>5333.333333333333</v>
      </c>
      <c r="G23" s="3">
        <v>5333.33</v>
      </c>
      <c r="H23" s="1" t="str">
        <f t="shared" si="7"/>
        <v>OK</v>
      </c>
    </row>
    <row r="24" spans="2:8" x14ac:dyDescent="0.25">
      <c r="B24" s="1" t="s">
        <v>1</v>
      </c>
      <c r="C24" s="1" t="s">
        <v>12</v>
      </c>
      <c r="E24" s="1">
        <v>0.75</v>
      </c>
      <c r="F24" s="3">
        <f t="shared" si="6"/>
        <v>4000</v>
      </c>
      <c r="G24" s="3">
        <v>4000</v>
      </c>
      <c r="H24" s="1" t="str">
        <f t="shared" si="7"/>
        <v>OK</v>
      </c>
    </row>
    <row r="25" spans="2:8" x14ac:dyDescent="0.25">
      <c r="B25" s="1" t="s">
        <v>1</v>
      </c>
      <c r="C25" s="1" t="s">
        <v>12</v>
      </c>
      <c r="E25" s="1">
        <v>0.8</v>
      </c>
      <c r="F25" s="3">
        <f t="shared" si="6"/>
        <v>4000</v>
      </c>
      <c r="G25" s="3">
        <v>4000</v>
      </c>
      <c r="H25" s="1" t="str">
        <f t="shared" si="7"/>
        <v>OK</v>
      </c>
    </row>
    <row r="27" spans="2:8" x14ac:dyDescent="0.25">
      <c r="B27" s="1" t="s">
        <v>1</v>
      </c>
      <c r="C27" s="1" t="s">
        <v>13</v>
      </c>
      <c r="E27" s="1">
        <v>0.55000000000000004</v>
      </c>
      <c r="F27" s="3">
        <f>getTablesC1(B27,C27,D27,E27)</f>
        <v>4000</v>
      </c>
      <c r="G27" s="3">
        <v>4000</v>
      </c>
      <c r="H27" s="1" t="str">
        <f>IF(ABS(F27-G27)&lt;0.01,"OK","NO")</f>
        <v>OK</v>
      </c>
    </row>
    <row r="28" spans="2:8" x14ac:dyDescent="0.25">
      <c r="B28" s="1" t="s">
        <v>1</v>
      </c>
      <c r="C28" s="1" t="s">
        <v>13</v>
      </c>
      <c r="E28" s="1">
        <v>0.6</v>
      </c>
      <c r="F28" s="3">
        <f t="shared" ref="F28:F31" si="8">getTablesC1(B28,C28,D28,E28)</f>
        <v>4000</v>
      </c>
      <c r="G28" s="3">
        <v>4000</v>
      </c>
      <c r="H28" s="1" t="str">
        <f t="shared" ref="H28:H31" si="9">IF(ABS(F28-G28)&lt;0.01,"OK","NO")</f>
        <v>OK</v>
      </c>
    </row>
    <row r="29" spans="2:8" x14ac:dyDescent="0.25">
      <c r="B29" s="1" t="s">
        <v>1</v>
      </c>
      <c r="C29" s="1" t="s">
        <v>13</v>
      </c>
      <c r="E29" s="1">
        <v>0.7</v>
      </c>
      <c r="F29" s="3">
        <f t="shared" si="8"/>
        <v>3175.0000000000005</v>
      </c>
      <c r="G29" s="3">
        <f>(2350+4000)/2</f>
        <v>3175</v>
      </c>
      <c r="H29" s="1" t="str">
        <f t="shared" si="9"/>
        <v>OK</v>
      </c>
    </row>
    <row r="30" spans="2:8" x14ac:dyDescent="0.25">
      <c r="B30" s="1" t="s">
        <v>1</v>
      </c>
      <c r="C30" s="1" t="s">
        <v>13</v>
      </c>
      <c r="E30" s="1">
        <v>0.8</v>
      </c>
      <c r="F30" s="3">
        <f t="shared" si="8"/>
        <v>2350</v>
      </c>
      <c r="G30" s="3">
        <v>2350</v>
      </c>
      <c r="H30" s="1" t="str">
        <f t="shared" si="9"/>
        <v>OK</v>
      </c>
    </row>
    <row r="31" spans="2:8" x14ac:dyDescent="0.25">
      <c r="B31" s="1" t="s">
        <v>1</v>
      </c>
      <c r="C31" s="1" t="s">
        <v>13</v>
      </c>
      <c r="E31" s="1">
        <v>0.85</v>
      </c>
      <c r="F31" s="3">
        <f t="shared" si="8"/>
        <v>2350</v>
      </c>
      <c r="G31" s="3">
        <v>2350</v>
      </c>
      <c r="H31" s="1" t="str">
        <f t="shared" si="9"/>
        <v>OK</v>
      </c>
    </row>
    <row r="33" spans="2:8" x14ac:dyDescent="0.25">
      <c r="B33" s="1" t="s">
        <v>14</v>
      </c>
      <c r="C33" s="1" t="s">
        <v>15</v>
      </c>
      <c r="D33" s="1">
        <v>-1.1000000000000001</v>
      </c>
      <c r="F33" s="3">
        <f>getTablesC1(B33,C33,D33,E33)</f>
        <v>6000</v>
      </c>
      <c r="G33" s="3">
        <v>6000</v>
      </c>
      <c r="H33" s="1" t="str">
        <f>IF(ABS(F33-G33)&lt;0.01,"OK","NO")</f>
        <v>OK</v>
      </c>
    </row>
    <row r="34" spans="2:8" x14ac:dyDescent="0.25">
      <c r="B34" s="1" t="s">
        <v>14</v>
      </c>
      <c r="C34" s="1" t="s">
        <v>15</v>
      </c>
      <c r="D34" s="1">
        <v>-1</v>
      </c>
      <c r="F34" s="3">
        <f>getTablesC1(B34,C34,D34,E34)</f>
        <v>6000</v>
      </c>
      <c r="G34" s="3">
        <v>6000</v>
      </c>
      <c r="H34" s="1" t="str">
        <f>IF(ABS(F34-G34)&lt;0.01,"OK","NO")</f>
        <v>OK</v>
      </c>
    </row>
    <row r="35" spans="2:8" x14ac:dyDescent="0.25">
      <c r="B35" s="1" t="s">
        <v>14</v>
      </c>
      <c r="C35" s="1" t="s">
        <v>15</v>
      </c>
      <c r="D35" s="1">
        <v>-0.5</v>
      </c>
      <c r="F35" s="3">
        <f t="shared" ref="F35:F38" si="10">getTablesC1(B35,C35,D35,E35)</f>
        <v>5000</v>
      </c>
      <c r="G35" s="3">
        <v>5000</v>
      </c>
      <c r="H35" s="1" t="str">
        <f t="shared" ref="H35:H38" si="11">IF(ABS(F35-G35)&lt;0.01,"OK","NO")</f>
        <v>OK</v>
      </c>
    </row>
    <row r="36" spans="2:8" x14ac:dyDescent="0.25">
      <c r="B36" s="1" t="s">
        <v>14</v>
      </c>
      <c r="C36" s="1" t="s">
        <v>15</v>
      </c>
      <c r="D36" s="1">
        <v>0</v>
      </c>
      <c r="F36" s="3">
        <f t="shared" si="10"/>
        <v>4000</v>
      </c>
      <c r="G36" s="3">
        <v>4000</v>
      </c>
      <c r="H36" s="1" t="str">
        <f t="shared" si="11"/>
        <v>OK</v>
      </c>
    </row>
    <row r="37" spans="2:8" x14ac:dyDescent="0.25">
      <c r="B37" s="1" t="s">
        <v>14</v>
      </c>
      <c r="C37" s="1" t="s">
        <v>15</v>
      </c>
      <c r="D37" s="1">
        <v>0.5</v>
      </c>
      <c r="F37" s="3">
        <f t="shared" si="10"/>
        <v>3175</v>
      </c>
      <c r="G37" s="3">
        <v>3175</v>
      </c>
      <c r="H37" s="1" t="str">
        <f t="shared" si="11"/>
        <v>OK</v>
      </c>
    </row>
    <row r="38" spans="2:8" x14ac:dyDescent="0.25">
      <c r="B38" s="1" t="s">
        <v>14</v>
      </c>
      <c r="C38" s="1" t="s">
        <v>15</v>
      </c>
      <c r="D38" s="1">
        <v>1</v>
      </c>
      <c r="F38" s="3">
        <f t="shared" si="10"/>
        <v>2350</v>
      </c>
      <c r="G38" s="3">
        <v>2350</v>
      </c>
      <c r="H38" s="1" t="str">
        <f t="shared" si="11"/>
        <v>OK</v>
      </c>
    </row>
    <row r="39" spans="2:8" x14ac:dyDescent="0.25">
      <c r="B39" s="1" t="s">
        <v>14</v>
      </c>
      <c r="C39" s="1" t="s">
        <v>15</v>
      </c>
      <c r="D39" s="1">
        <v>1.1000000000000001</v>
      </c>
      <c r="F39" s="3">
        <f t="shared" ref="F39" si="12">getTablesC1(B39,C39,D39,E39)</f>
        <v>2350</v>
      </c>
      <c r="G39" s="3">
        <v>2350</v>
      </c>
      <c r="H39" s="1" t="str">
        <f t="shared" ref="H39" si="13">IF(ABS(F39-G39)&lt;0.01,"OK","NO")</f>
        <v>OK</v>
      </c>
    </row>
    <row r="41" spans="2:8" x14ac:dyDescent="0.25">
      <c r="B41" s="1" t="s">
        <v>0</v>
      </c>
      <c r="D41" s="1">
        <v>-1.1000000000000001</v>
      </c>
      <c r="F41" s="3">
        <f>getTablesC1(B41,C41,D41,E41)</f>
        <v>10000</v>
      </c>
      <c r="G41" s="3">
        <v>10000</v>
      </c>
      <c r="H41" s="1" t="str">
        <f>IF(ABS(F41-G41)&lt;0.01,"OK","NO")</f>
        <v>OK</v>
      </c>
    </row>
    <row r="42" spans="2:8" x14ac:dyDescent="0.25">
      <c r="B42" s="1" t="s">
        <v>0</v>
      </c>
      <c r="D42" s="1">
        <v>-1</v>
      </c>
      <c r="F42" s="3">
        <f>getTablesC1(B42,C42,D42,E42)</f>
        <v>10000</v>
      </c>
      <c r="G42" s="3">
        <v>10000</v>
      </c>
      <c r="H42" s="1" t="str">
        <f>IF(ABS(F42-G42)&lt;0.01,"OK","NO")</f>
        <v>OK</v>
      </c>
    </row>
    <row r="43" spans="2:8" x14ac:dyDescent="0.25">
      <c r="B43" s="1" t="s">
        <v>0</v>
      </c>
      <c r="D43" s="1">
        <v>-0.5</v>
      </c>
      <c r="F43" s="3">
        <f t="shared" ref="F43:F47" si="14">getTablesC1(B43,C43,D43,E43)</f>
        <v>8000</v>
      </c>
      <c r="G43" s="3">
        <v>8000</v>
      </c>
      <c r="H43" s="1" t="str">
        <f t="shared" ref="H43:H47" si="15">IF(ABS(F43-G43)&lt;0.01,"OK","NO")</f>
        <v>OK</v>
      </c>
    </row>
    <row r="44" spans="2:8" x14ac:dyDescent="0.25">
      <c r="B44" s="1" t="s">
        <v>0</v>
      </c>
      <c r="D44" s="1">
        <v>0</v>
      </c>
      <c r="F44" s="3">
        <f t="shared" si="14"/>
        <v>6000</v>
      </c>
      <c r="G44" s="3">
        <v>6000</v>
      </c>
      <c r="H44" s="1" t="str">
        <f t="shared" si="15"/>
        <v>OK</v>
      </c>
    </row>
    <row r="45" spans="2:8" x14ac:dyDescent="0.25">
      <c r="B45" s="1" t="s">
        <v>0</v>
      </c>
      <c r="D45" s="1">
        <v>0.25</v>
      </c>
      <c r="F45" s="3">
        <f t="shared" si="14"/>
        <v>5000</v>
      </c>
      <c r="G45" s="3">
        <v>5000</v>
      </c>
      <c r="H45" s="1" t="str">
        <f t="shared" si="15"/>
        <v>OK</v>
      </c>
    </row>
    <row r="46" spans="2:8" x14ac:dyDescent="0.25">
      <c r="B46" s="1" t="s">
        <v>0</v>
      </c>
      <c r="D46" s="1">
        <v>0.5</v>
      </c>
      <c r="F46" s="3">
        <f t="shared" si="14"/>
        <v>4000</v>
      </c>
      <c r="G46" s="3">
        <v>4000</v>
      </c>
      <c r="H46" s="1" t="str">
        <f t="shared" si="15"/>
        <v>OK</v>
      </c>
    </row>
    <row r="47" spans="2:8" x14ac:dyDescent="0.25">
      <c r="B47" s="1" t="s">
        <v>0</v>
      </c>
      <c r="D47" s="1">
        <v>0.75</v>
      </c>
      <c r="F47" s="3">
        <f t="shared" si="14"/>
        <v>2350</v>
      </c>
      <c r="G47" s="3">
        <v>2350</v>
      </c>
      <c r="H47" s="1" t="str">
        <f t="shared" si="15"/>
        <v>OK</v>
      </c>
    </row>
    <row r="48" spans="2:8" x14ac:dyDescent="0.25">
      <c r="B48" s="1" t="s">
        <v>0</v>
      </c>
      <c r="D48" s="1">
        <v>1</v>
      </c>
      <c r="F48" s="3">
        <f t="shared" ref="F48:F49" si="16">getTablesC1(B48,C48,D48,E48)</f>
        <v>1350</v>
      </c>
      <c r="G48" s="3">
        <v>1350</v>
      </c>
      <c r="H48" s="1" t="str">
        <f t="shared" ref="H48:H49" si="17">IF(ABS(F48-G48)&lt;0.01,"OK","NO")</f>
        <v>OK</v>
      </c>
    </row>
    <row r="49" spans="2:8" x14ac:dyDescent="0.25">
      <c r="B49" s="1" t="s">
        <v>0</v>
      </c>
      <c r="D49" s="1">
        <v>1.1000000000000001</v>
      </c>
      <c r="F49" s="3">
        <f t="shared" si="16"/>
        <v>1350</v>
      </c>
      <c r="G49" s="3">
        <v>1350</v>
      </c>
      <c r="H49" s="1" t="str">
        <f t="shared" si="17"/>
        <v>OK</v>
      </c>
    </row>
    <row r="51" spans="2:8" x14ac:dyDescent="0.25">
      <c r="B51" s="1" t="s">
        <v>16</v>
      </c>
      <c r="D51" s="1">
        <v>-1.1000000000000001</v>
      </c>
      <c r="F51" s="3">
        <f>getTablesC1(B51,C51,D51,E51)</f>
        <v>10000</v>
      </c>
      <c r="G51" s="3">
        <v>10000</v>
      </c>
      <c r="H51" s="1" t="str">
        <f>IF(ABS(F51-G51)&lt;0.01,"OK","NO")</f>
        <v>OK</v>
      </c>
    </row>
    <row r="52" spans="2:8" x14ac:dyDescent="0.25">
      <c r="B52" s="1" t="s">
        <v>16</v>
      </c>
      <c r="D52" s="1">
        <v>-1</v>
      </c>
      <c r="F52" s="3">
        <f>getTablesC1(B52,C52,D52,E52)</f>
        <v>10000</v>
      </c>
      <c r="G52" s="3">
        <v>10000</v>
      </c>
      <c r="H52" s="1" t="str">
        <f>IF(ABS(F52-G52)&lt;0.01,"OK","NO")</f>
        <v>OK</v>
      </c>
    </row>
    <row r="53" spans="2:8" x14ac:dyDescent="0.25">
      <c r="B53" s="1" t="s">
        <v>16</v>
      </c>
      <c r="D53" s="1">
        <v>-0.5</v>
      </c>
      <c r="F53" s="3">
        <f t="shared" ref="F53:F59" si="18">getTablesC1(B53,C53,D53,E53)</f>
        <v>8000</v>
      </c>
      <c r="G53" s="3">
        <v>8000</v>
      </c>
      <c r="H53" s="1" t="str">
        <f t="shared" ref="H53:H59" si="19">IF(ABS(F53-G53)&lt;0.01,"OK","NO")</f>
        <v>OK</v>
      </c>
    </row>
    <row r="54" spans="2:8" x14ac:dyDescent="0.25">
      <c r="B54" s="1" t="s">
        <v>16</v>
      </c>
      <c r="D54" s="1">
        <v>0</v>
      </c>
      <c r="F54" s="3">
        <f t="shared" si="18"/>
        <v>6000</v>
      </c>
      <c r="G54" s="3">
        <v>6000</v>
      </c>
      <c r="H54" s="1" t="str">
        <f t="shared" si="19"/>
        <v>OK</v>
      </c>
    </row>
    <row r="55" spans="2:8" x14ac:dyDescent="0.25">
      <c r="B55" s="1" t="s">
        <v>16</v>
      </c>
      <c r="D55" s="1">
        <v>0.25</v>
      </c>
      <c r="F55" s="3">
        <f t="shared" si="18"/>
        <v>5000</v>
      </c>
      <c r="G55" s="3">
        <v>5000</v>
      </c>
      <c r="H55" s="1" t="str">
        <f t="shared" si="19"/>
        <v>OK</v>
      </c>
    </row>
    <row r="56" spans="2:8" x14ac:dyDescent="0.25">
      <c r="B56" s="1" t="s">
        <v>16</v>
      </c>
      <c r="D56" s="1">
        <v>0.5</v>
      </c>
      <c r="F56" s="3">
        <f t="shared" si="18"/>
        <v>4000</v>
      </c>
      <c r="G56" s="3">
        <v>4000</v>
      </c>
      <c r="H56" s="1" t="str">
        <f t="shared" si="19"/>
        <v>OK</v>
      </c>
    </row>
    <row r="57" spans="2:8" x14ac:dyDescent="0.25">
      <c r="B57" s="1" t="s">
        <v>16</v>
      </c>
      <c r="D57" s="1">
        <v>0.75</v>
      </c>
      <c r="F57" s="3">
        <f t="shared" si="18"/>
        <v>2350</v>
      </c>
      <c r="G57" s="3">
        <v>2350</v>
      </c>
      <c r="H57" s="1" t="str">
        <f t="shared" si="19"/>
        <v>OK</v>
      </c>
    </row>
    <row r="58" spans="2:8" x14ac:dyDescent="0.25">
      <c r="B58" s="1" t="s">
        <v>16</v>
      </c>
      <c r="D58" s="1">
        <v>1</v>
      </c>
      <c r="F58" s="3">
        <f t="shared" si="18"/>
        <v>1350</v>
      </c>
      <c r="G58" s="3">
        <v>1350</v>
      </c>
      <c r="H58" s="1" t="str">
        <f t="shared" si="19"/>
        <v>OK</v>
      </c>
    </row>
    <row r="59" spans="2:8" x14ac:dyDescent="0.25">
      <c r="B59" s="1" t="s">
        <v>16</v>
      </c>
      <c r="D59" s="1">
        <v>1.1000000000000001</v>
      </c>
      <c r="F59" s="3">
        <f t="shared" si="18"/>
        <v>1350</v>
      </c>
      <c r="G59" s="3">
        <v>1350</v>
      </c>
      <c r="H59" s="1" t="str">
        <f t="shared" si="19"/>
        <v>OK</v>
      </c>
    </row>
    <row r="61" spans="2:8" x14ac:dyDescent="0.25">
      <c r="B61" s="1" t="s">
        <v>17</v>
      </c>
      <c r="C61" s="1" t="s">
        <v>18</v>
      </c>
      <c r="F61" s="3">
        <f t="shared" ref="F61" si="20">getTablesC1(B61,C61,D61,E61)</f>
        <v>33350</v>
      </c>
      <c r="G61" s="3">
        <v>33350</v>
      </c>
      <c r="H61" s="1" t="str">
        <f t="shared" ref="H61" si="21">IF(ABS(F61-G61)&lt;0.01,"OK","NO")</f>
        <v>OK</v>
      </c>
    </row>
    <row r="62" spans="2:8" x14ac:dyDescent="0.25">
      <c r="B62" s="1" t="s">
        <v>17</v>
      </c>
      <c r="C62" s="1" t="s">
        <v>19</v>
      </c>
      <c r="F62" s="3">
        <f t="shared" ref="F62:F63" si="22">getTablesC1(B62,C62,D62,E62)</f>
        <v>33350</v>
      </c>
      <c r="G62" s="3">
        <v>33350</v>
      </c>
      <c r="H62" s="1" t="str">
        <f t="shared" ref="H62:H63" si="23">IF(ABS(F62-G62)&lt;0.01,"OK","NO")</f>
        <v>OK</v>
      </c>
    </row>
    <row r="63" spans="2:8" x14ac:dyDescent="0.25">
      <c r="B63" s="1" t="s">
        <v>17</v>
      </c>
      <c r="C63" s="1" t="s">
        <v>20</v>
      </c>
      <c r="F63" s="3">
        <f t="shared" si="22"/>
        <v>33350</v>
      </c>
      <c r="G63" s="3">
        <v>33350</v>
      </c>
      <c r="H63" s="1" t="str">
        <f t="shared" si="23"/>
        <v>OK</v>
      </c>
    </row>
  </sheetData>
  <conditionalFormatting sqref="H1:H8 H14 H20 H26 H32 H40 H50 H60 H64:H1048576">
    <cfRule type="containsText" dxfId="43" priority="43" operator="containsText" text="OK">
      <formula>NOT(ISERROR(SEARCH("OK",H1)))</formula>
    </cfRule>
    <cfRule type="containsText" dxfId="42" priority="44" operator="containsText" text="NO">
      <formula>NOT(ISERROR(SEARCH("NO",H1)))</formula>
    </cfRule>
  </conditionalFormatting>
  <conditionalFormatting sqref="H21:H25">
    <cfRule type="containsText" dxfId="41" priority="29" operator="containsText" text="OK">
      <formula>NOT(ISERROR(SEARCH("OK",H21)))</formula>
    </cfRule>
    <cfRule type="containsText" dxfId="40" priority="30" operator="containsText" text="NO">
      <formula>NOT(ISERROR(SEARCH("NO",H21)))</formula>
    </cfRule>
  </conditionalFormatting>
  <conditionalFormatting sqref="H27:H31">
    <cfRule type="containsText" dxfId="39" priority="27" operator="containsText" text="OK">
      <formula>NOT(ISERROR(SEARCH("OK",H27)))</formula>
    </cfRule>
    <cfRule type="containsText" dxfId="38" priority="28" operator="containsText" text="NO">
      <formula>NOT(ISERROR(SEARCH("NO",H27)))</formula>
    </cfRule>
  </conditionalFormatting>
  <conditionalFormatting sqref="H34:H38">
    <cfRule type="containsText" dxfId="37" priority="25" operator="containsText" text="OK">
      <formula>NOT(ISERROR(SEARCH("OK",H34)))</formula>
    </cfRule>
    <cfRule type="containsText" dxfId="36" priority="26" operator="containsText" text="NO">
      <formula>NOT(ISERROR(SEARCH("NO",H34)))</formula>
    </cfRule>
  </conditionalFormatting>
  <conditionalFormatting sqref="H39">
    <cfRule type="containsText" dxfId="35" priority="23" operator="containsText" text="OK">
      <formula>NOT(ISERROR(SEARCH("OK",H39)))</formula>
    </cfRule>
    <cfRule type="containsText" dxfId="34" priority="24" operator="containsText" text="NO">
      <formula>NOT(ISERROR(SEARCH("NO",H39)))</formula>
    </cfRule>
  </conditionalFormatting>
  <conditionalFormatting sqref="H9:H13">
    <cfRule type="containsText" dxfId="33" priority="33" operator="containsText" text="OK">
      <formula>NOT(ISERROR(SEARCH("OK",H9)))</formula>
    </cfRule>
    <cfRule type="containsText" dxfId="32" priority="34" operator="containsText" text="NO">
      <formula>NOT(ISERROR(SEARCH("NO",H9)))</formula>
    </cfRule>
  </conditionalFormatting>
  <conditionalFormatting sqref="H15:H19">
    <cfRule type="containsText" dxfId="31" priority="31" operator="containsText" text="OK">
      <formula>NOT(ISERROR(SEARCH("OK",H15)))</formula>
    </cfRule>
    <cfRule type="containsText" dxfId="30" priority="32" operator="containsText" text="NO">
      <formula>NOT(ISERROR(SEARCH("NO",H15)))</formula>
    </cfRule>
  </conditionalFormatting>
  <conditionalFormatting sqref="H33">
    <cfRule type="containsText" dxfId="21" priority="21" operator="containsText" text="OK">
      <formula>NOT(ISERROR(SEARCH("OK",H33)))</formula>
    </cfRule>
    <cfRule type="containsText" dxfId="20" priority="22" operator="containsText" text="NO">
      <formula>NOT(ISERROR(SEARCH("NO",H33)))</formula>
    </cfRule>
  </conditionalFormatting>
  <conditionalFormatting sqref="H42:H46">
    <cfRule type="containsText" dxfId="19" priority="19" operator="containsText" text="OK">
      <formula>NOT(ISERROR(SEARCH("OK",H42)))</formula>
    </cfRule>
    <cfRule type="containsText" dxfId="18" priority="20" operator="containsText" text="NO">
      <formula>NOT(ISERROR(SEARCH("NO",H42)))</formula>
    </cfRule>
  </conditionalFormatting>
  <conditionalFormatting sqref="H47">
    <cfRule type="containsText" dxfId="17" priority="17" operator="containsText" text="OK">
      <formula>NOT(ISERROR(SEARCH("OK",H47)))</formula>
    </cfRule>
    <cfRule type="containsText" dxfId="16" priority="18" operator="containsText" text="NO">
      <formula>NOT(ISERROR(SEARCH("NO",H47)))</formula>
    </cfRule>
  </conditionalFormatting>
  <conditionalFormatting sqref="H41">
    <cfRule type="containsText" dxfId="15" priority="15" operator="containsText" text="OK">
      <formula>NOT(ISERROR(SEARCH("OK",H41)))</formula>
    </cfRule>
    <cfRule type="containsText" dxfId="14" priority="16" operator="containsText" text="NO">
      <formula>NOT(ISERROR(SEARCH("NO",H41)))</formula>
    </cfRule>
  </conditionalFormatting>
  <conditionalFormatting sqref="H48:H49">
    <cfRule type="containsText" dxfId="13" priority="13" operator="containsText" text="OK">
      <formula>NOT(ISERROR(SEARCH("OK",H48)))</formula>
    </cfRule>
    <cfRule type="containsText" dxfId="12" priority="14" operator="containsText" text="NO">
      <formula>NOT(ISERROR(SEARCH("NO",H48)))</formula>
    </cfRule>
  </conditionalFormatting>
  <conditionalFormatting sqref="H52:H56">
    <cfRule type="containsText" dxfId="11" priority="11" operator="containsText" text="OK">
      <formula>NOT(ISERROR(SEARCH("OK",H52)))</formula>
    </cfRule>
    <cfRule type="containsText" dxfId="10" priority="12" operator="containsText" text="NO">
      <formula>NOT(ISERROR(SEARCH("NO",H52)))</formula>
    </cfRule>
  </conditionalFormatting>
  <conditionalFormatting sqref="H57">
    <cfRule type="containsText" dxfId="9" priority="9" operator="containsText" text="OK">
      <formula>NOT(ISERROR(SEARCH("OK",H57)))</formula>
    </cfRule>
    <cfRule type="containsText" dxfId="8" priority="10" operator="containsText" text="NO">
      <formula>NOT(ISERROR(SEARCH("NO",H57)))</formula>
    </cfRule>
  </conditionalFormatting>
  <conditionalFormatting sqref="H51">
    <cfRule type="containsText" dxfId="7" priority="7" operator="containsText" text="OK">
      <formula>NOT(ISERROR(SEARCH("OK",H51)))</formula>
    </cfRule>
    <cfRule type="containsText" dxfId="6" priority="8" operator="containsText" text="NO">
      <formula>NOT(ISERROR(SEARCH("NO",H51)))</formula>
    </cfRule>
  </conditionalFormatting>
  <conditionalFormatting sqref="H58:H59">
    <cfRule type="containsText" dxfId="5" priority="5" operator="containsText" text="OK">
      <formula>NOT(ISERROR(SEARCH("OK",H58)))</formula>
    </cfRule>
    <cfRule type="containsText" dxfId="4" priority="6" operator="containsText" text="NO">
      <formula>NOT(ISERROR(SEARCH("NO",H58)))</formula>
    </cfRule>
  </conditionalFormatting>
  <conditionalFormatting sqref="H61">
    <cfRule type="containsText" dxfId="3" priority="3" operator="containsText" text="OK">
      <formula>NOT(ISERROR(SEARCH("OK",H61)))</formula>
    </cfRule>
    <cfRule type="containsText" dxfId="2" priority="4" operator="containsText" text="NO">
      <formula>NOT(ISERROR(SEARCH("NO",H61)))</formula>
    </cfRule>
  </conditionalFormatting>
  <conditionalFormatting sqref="H62:H63">
    <cfRule type="containsText" dxfId="1" priority="1" operator="containsText" text="OK">
      <formula>NOT(ISERROR(SEARCH("OK",H62)))</formula>
    </cfRule>
    <cfRule type="containsText" dxfId="0" priority="2" operator="containsText" text="NO">
      <formula>NOT(ISERROR(SEARCH("NO",H62)))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NIIK/noskov_as</dc:creator>
  <cp:lastModifiedBy>NIIK/noskov_as</cp:lastModifiedBy>
  <dcterms:created xsi:type="dcterms:W3CDTF">2019-07-16T16:50:34Z</dcterms:created>
  <dcterms:modified xsi:type="dcterms:W3CDTF">2019-07-16T17:15:07Z</dcterms:modified>
</cp:coreProperties>
</file>